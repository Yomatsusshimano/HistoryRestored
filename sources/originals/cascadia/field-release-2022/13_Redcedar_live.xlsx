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twater\Desktop\QR ms\supplement_revisions\"/>
    </mc:Choice>
  </mc:AlternateContent>
  <bookViews>
    <workbookView xWindow="0" yWindow="0" windowWidth="28800" windowHeight="11985"/>
  </bookViews>
  <sheets>
    <sheet name="Sheet 1" sheetId="1" r:id="rId1"/>
  </sheets>
  <calcPr calcId="162913"/>
</workbook>
</file>

<file path=xl/calcChain.xml><?xml version="1.0" encoding="utf-8"?>
<calcChain xmlns="http://schemas.openxmlformats.org/spreadsheetml/2006/main">
  <c r="J36" i="1" l="1"/>
  <c r="H44" i="1" l="1"/>
</calcChain>
</file>

<file path=xl/sharedStrings.xml><?xml version="1.0" encoding="utf-8"?>
<sst xmlns="http://schemas.openxmlformats.org/spreadsheetml/2006/main" count="238" uniqueCount="69">
  <si>
    <t>Estuary</t>
  </si>
  <si>
    <t>PithYr</t>
  </si>
  <si>
    <t>Comments</t>
  </si>
  <si>
    <t>Columbia River</t>
  </si>
  <si>
    <t>Seal Slough</t>
  </si>
  <si>
    <t>Grays Harbor</t>
  </si>
  <si>
    <t>Chehalis River</t>
  </si>
  <si>
    <t>Willapa Bay</t>
  </si>
  <si>
    <t>South Fork Willapa River</t>
  </si>
  <si>
    <t>Naselle River</t>
  </si>
  <si>
    <t xml:space="preserve">Elochoman </t>
  </si>
  <si>
    <t>Longitude</t>
  </si>
  <si>
    <t>Latitude</t>
  </si>
  <si>
    <t>Vicinity</t>
  </si>
  <si>
    <t>Diam_cm</t>
  </si>
  <si>
    <t>RingCount</t>
  </si>
  <si>
    <t>Height about 6 m</t>
  </si>
  <si>
    <t>Height about 30 m</t>
  </si>
  <si>
    <t>Height up to 25 m, diameter up to 0.5 m</t>
  </si>
  <si>
    <t>Diameter 20-30 cm, in contrast with nearby redcedar snag 1.5 m diam (tag no. 763)</t>
  </si>
  <si>
    <t>Height up to 30 m</t>
  </si>
  <si>
    <t>A few up to 15 m in height</t>
  </si>
  <si>
    <t>Diameter in range 50-100 cm</t>
  </si>
  <si>
    <t>A few up to 30 m in height</t>
  </si>
  <si>
    <t>Height 15 m, diameter about 40 cm</t>
  </si>
  <si>
    <t>Height 30 m</t>
  </si>
  <si>
    <t>Height 13 m, diameter 0.8 m</t>
  </si>
  <si>
    <t>Note on topographic map: "live cedar"</t>
  </si>
  <si>
    <t xml:space="preserve">Height about 30 m, shorter than adjacent cottonwood </t>
  </si>
  <si>
    <t>Price Island</t>
  </si>
  <si>
    <t>PI-08</t>
  </si>
  <si>
    <t>TreeID</t>
  </si>
  <si>
    <t>~180</t>
  </si>
  <si>
    <t>Chehalis River near Higgins Island</t>
  </si>
  <si>
    <t>Beside spruce 55, with innermost dated ring 1787 and estimated pith date 1760</t>
  </si>
  <si>
    <t>Long Island</t>
  </si>
  <si>
    <t>https://www.ncdc.noaa.gov/paleo-search/study/5382</t>
  </si>
  <si>
    <t>Stump, long dead</t>
  </si>
  <si>
    <t>Logged dead in 1987</t>
  </si>
  <si>
    <t>EarliestYr</t>
  </si>
  <si>
    <t>LatestYr</t>
  </si>
  <si>
    <t>Trunk narrower than that of adjacent dead redcedar tagged 777</t>
  </si>
  <si>
    <t>Blind Slough</t>
  </si>
  <si>
    <t>BS3</t>
  </si>
  <si>
    <t>Category</t>
  </si>
  <si>
    <t>Witness</t>
  </si>
  <si>
    <t>Survivor</t>
  </si>
  <si>
    <t>Sampled fallen, long dead. Rings measured along two lines: 767I, 1036-1535; 767O, 1544-1917</t>
  </si>
  <si>
    <t xml:space="preserve">Rings measured along two lines: 766I, 1350-1582; 1755O, 1515-1986 </t>
  </si>
  <si>
    <t>Coordinates by GPS 10-Sep-2018 (ED). Ring-width data available from cores BS3E1 and BS3E1B, BS3SE, BS3E3 on pdf pages 39-41 of Geological Society of America Supplementary Data 9756 of Jacoby and others (1997). Core BS3E1 contained the tree's earliest dated ring (1624)</t>
  </si>
  <si>
    <t>Rings counted on stump of freshly logged redcedar within 15 m of spruce tagged 774</t>
  </si>
  <si>
    <t xml:space="preserve">Rings counted on stump of freshly logged redcedar along north bank Seal Slough 50-75 m upstream of Grays River. An adjacent redcedar also 70-80 cm diameter gave a similar result: 76 rings counted, plus another 8 estimated for rotten innermost 4 cm of radius </t>
  </si>
  <si>
    <t>Grays River</t>
  </si>
  <si>
    <t>F226, tag 36</t>
  </si>
  <si>
    <t>FieldWork</t>
  </si>
  <si>
    <t>1987-1997 (BA)</t>
  </si>
  <si>
    <t>11-Jul-1994 (FT SB TM)</t>
  </si>
  <si>
    <t>8-Jul-1987 (DY KB)</t>
  </si>
  <si>
    <t>9-Jul-1987 (DY KB)</t>
  </si>
  <si>
    <t>14-Aug-1987 (DY KB)</t>
  </si>
  <si>
    <t>15-May-1987 (BA DY)</t>
  </si>
  <si>
    <t>16-Aug-1987 (BA DY)</t>
  </si>
  <si>
    <t>27-May-1994 (BB GJ)</t>
  </si>
  <si>
    <t>21-Sep-1992 (BB LA)</t>
  </si>
  <si>
    <t>1995 (BB GJ)</t>
  </si>
  <si>
    <t>Rooted on lowest part of a probable survivor spruce, F224. Coordinates, from pinhole in 1976 airphoto scale 1:44,500, are those of F224. Earliest year approximate and likely to err on the young side, being based on a ring count that was approximate, and which ended in rotten interior wood</t>
  </si>
  <si>
    <t>URL</t>
  </si>
  <si>
    <t>https://www.geosociety.org/datarepository/1997/9756.pdf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</si>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</sst>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d\-mmm\-yyyy;@"/>
    <numFmt numFmtId="165" formatCode="0.0000"/>
    <numFmt numFmtId="166" formatCode="dd\-mmm\-yyyy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27">
    <xf numFmtId="0" fontId="0" fillId="0" borderId="0" xfId="0"/>
    <xf numFmtId="165" fontId="0" fillId="0" borderId="0" xfId="0" applyNumberFormat="1"/>
    <xf numFmtId="0" fontId="0" fillId="0" borderId="0" xfId="0" applyFont="1" applyAlignment="1">
      <alignment wrapText="1"/>
    </xf>
    <xf numFmtId="0" fontId="0" fillId="0" borderId="0" xfId="0" applyFont="1" applyAlignment="1">
      <alignment horizontal="right"/>
    </xf>
    <xf numFmtId="0" fontId="0" fillId="0" borderId="0" xfId="0" applyFont="1" applyAlignment="1">
      <alignment horizontal="center"/>
    </xf>
    <xf numFmtId="165" fontId="0" fillId="0" borderId="0" xfId="0" applyNumberFormat="1" applyFont="1" applyAlignment="1">
      <alignment wrapText="1"/>
    </xf>
    <xf numFmtId="0" fontId="0" fillId="0" borderId="0" xfId="0" applyFont="1" applyAlignment="1">
      <alignment horizontal="right" wrapText="1"/>
    </xf>
    <xf numFmtId="0" fontId="0" fillId="0" borderId="0" xfId="0" applyFont="1" applyAlignment="1">
      <alignment horizontal="center" wrapText="1"/>
    </xf>
    <xf numFmtId="0" fontId="0" fillId="0" borderId="0" xfId="0" applyFont="1" applyAlignment="1"/>
    <xf numFmtId="165" fontId="18" fillId="0" borderId="0" xfId="0" applyNumberFormat="1" applyFont="1" applyFill="1" applyBorder="1" applyAlignment="1" applyProtection="1"/>
    <xf numFmtId="1" fontId="18" fillId="0" borderId="0" xfId="0" applyNumberFormat="1" applyFont="1" applyFill="1" applyBorder="1" applyAlignment="1" applyProtection="1"/>
    <xf numFmtId="165" fontId="16" fillId="0" borderId="0" xfId="0" applyNumberFormat="1" applyFont="1" applyAlignment="1"/>
    <xf numFmtId="0" fontId="16" fillId="0" borderId="0" xfId="0" applyFont="1" applyAlignment="1"/>
    <xf numFmtId="0" fontId="16" fillId="0" borderId="0" xfId="0" applyFont="1" applyAlignment="1">
      <alignment wrapText="1"/>
    </xf>
    <xf numFmtId="0" fontId="16" fillId="0" borderId="0" xfId="0" applyFont="1" applyAlignment="1">
      <alignment horizontal="right"/>
    </xf>
    <xf numFmtId="165" fontId="0" fillId="0" borderId="0" xfId="0" applyNumberFormat="1" applyFont="1" applyAlignment="1"/>
    <xf numFmtId="1" fontId="0" fillId="0" borderId="0" xfId="0" applyNumberFormat="1" applyFont="1" applyAlignment="1"/>
    <xf numFmtId="1" fontId="16" fillId="0" borderId="0" xfId="0" applyNumberFormat="1" applyFont="1" applyAlignment="1"/>
    <xf numFmtId="1" fontId="0" fillId="0" borderId="0" xfId="0" applyNumberFormat="1" applyFont="1" applyAlignment="1">
      <alignment wrapText="1"/>
    </xf>
    <xf numFmtId="0" fontId="19" fillId="0" borderId="0" xfId="42"/>
    <xf numFmtId="0" fontId="0" fillId="0" borderId="0" xfId="0" applyFont="1" applyAlignment="1">
      <alignment horizontal="left" wrapText="1"/>
    </xf>
    <xf numFmtId="165" fontId="0" fillId="0" borderId="0" xfId="0" applyNumberFormat="1" applyFont="1"/>
    <xf numFmtId="0" fontId="16" fillId="0" borderId="0" xfId="0" applyFont="1" applyAlignment="1">
      <alignment horizontal="left" wrapText="1"/>
    </xf>
    <xf numFmtId="164" fontId="18" fillId="0" borderId="0" xfId="0" applyNumberFormat="1" applyFont="1" applyFill="1" applyBorder="1" applyAlignment="1" applyProtection="1">
      <alignment horizontal="left" wrapText="1"/>
    </xf>
    <xf numFmtId="164" fontId="0" fillId="0" borderId="0" xfId="0" applyNumberFormat="1" applyFont="1" applyAlignment="1">
      <alignment horizontal="left" wrapText="1"/>
    </xf>
    <xf numFmtId="166" fontId="0" fillId="0" borderId="0" xfId="0" applyNumberFormat="1" applyFont="1" applyAlignment="1">
      <alignment horizontal="left" wrapText="1"/>
    </xf>
    <xf numFmtId="0" fontId="19" fillId="0" borderId="0" xfId="42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cdc.noaa.gov/paleo-search/study/5382" TargetMode="External"/><Relationship Id="rId13" Type="http://schemas.openxmlformats.org/officeDocument/2006/relationships/hyperlink" Target="https://www.ncdc.noaa.gov/paleo-search/study/5382" TargetMode="External"/><Relationship Id="rId18" Type="http://schemas.openxmlformats.org/officeDocument/2006/relationships/hyperlink" Target="https://www.ncdc.noaa.gov/paleo-search/study/5382" TargetMode="External"/><Relationship Id="rId3" Type="http://schemas.openxmlformats.org/officeDocument/2006/relationships/hyperlink" Target="https://www.ncdc.noaa.gov/paleo-search/study/5382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https://www.ncdc.noaa.gov/paleo-search/study/5382" TargetMode="External"/><Relationship Id="rId12" Type="http://schemas.openxmlformats.org/officeDocument/2006/relationships/hyperlink" Target="https://www.ncdc.noaa.gov/paleo-search/study/5382" TargetMode="External"/><Relationship Id="rId17" Type="http://schemas.openxmlformats.org/officeDocument/2006/relationships/hyperlink" Target="https://www.ncdc.noaa.gov/paleo-search/study/5382" TargetMode="External"/><Relationship Id="rId2" Type="http://schemas.openxmlformats.org/officeDocument/2006/relationships/hyperlink" Target="https://www.ncdc.noaa.gov/paleo-search/study/5382" TargetMode="External"/><Relationship Id="rId16" Type="http://schemas.openxmlformats.org/officeDocument/2006/relationships/hyperlink" Target="https://www.ncdc.noaa.gov/paleo-search/study/5382" TargetMode="External"/><Relationship Id="rId20" Type="http://schemas.openxmlformats.org/officeDocument/2006/relationships/hyperlink" Target="https://www.geosociety.org/datarepository/1997/9756.pdf" TargetMode="External"/><Relationship Id="rId1" Type="http://schemas.openxmlformats.org/officeDocument/2006/relationships/hyperlink" Target="https://www.ncdc.noaa.gov/paleo-search/study/5382" TargetMode="External"/><Relationship Id="rId6" Type="http://schemas.openxmlformats.org/officeDocument/2006/relationships/hyperlink" Target="https://www.ncdc.noaa.gov/paleo-search/study/5382" TargetMode="External"/><Relationship Id="rId11" Type="http://schemas.openxmlformats.org/officeDocument/2006/relationships/hyperlink" Target="https://www.ncdc.noaa.gov/paleo-search/study/5382" TargetMode="External"/><Relationship Id="rId5" Type="http://schemas.openxmlformats.org/officeDocument/2006/relationships/hyperlink" Target="https://www.ncdc.noaa.gov/paleo-search/study/5382" TargetMode="External"/><Relationship Id="rId15" Type="http://schemas.openxmlformats.org/officeDocument/2006/relationships/hyperlink" Target="https://www.ncdc.noaa.gov/paleo-search/study/5382" TargetMode="External"/><Relationship Id="rId10" Type="http://schemas.openxmlformats.org/officeDocument/2006/relationships/hyperlink" Target="https://www.ncdc.noaa.gov/paleo-search/study/5382" TargetMode="External"/><Relationship Id="rId19" Type="http://schemas.openxmlformats.org/officeDocument/2006/relationships/hyperlink" Target="https://www.ncdc.noaa.gov/paleo-search/study/5382" TargetMode="External"/><Relationship Id="rId4" Type="http://schemas.openxmlformats.org/officeDocument/2006/relationships/hyperlink" Target="https://www.ncdc.noaa.gov/paleo-search/study/5382" TargetMode="External"/><Relationship Id="rId9" Type="http://schemas.openxmlformats.org/officeDocument/2006/relationships/hyperlink" Target="https://www.ncdc.noaa.gov/paleo-search/study/5382" TargetMode="External"/><Relationship Id="rId14" Type="http://schemas.openxmlformats.org/officeDocument/2006/relationships/hyperlink" Target="https://www.ncdc.noaa.gov/paleo-search/study/538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4"/>
  <sheetViews>
    <sheetView tabSelected="1" workbookViewId="0">
      <pane xSplit="6" ySplit="1" topLeftCell="G23" activePane="bottomRight" state="frozen"/>
      <selection pane="topRight" activeCell="G1" sqref="G1"/>
      <selection pane="bottomLeft" activeCell="A2" sqref="A2"/>
      <selection pane="bottomRight" activeCell="E43" sqref="E43"/>
    </sheetView>
  </sheetViews>
  <sheetFormatPr defaultColWidth="9.140625" defaultRowHeight="14.45" customHeight="1" x14ac:dyDescent="0.25"/>
  <cols>
    <col min="1" max="2" width="9.140625" style="15"/>
    <col min="3" max="3" width="9.140625" style="8"/>
    <col min="4" max="5" width="9.140625" style="2"/>
    <col min="6" max="6" width="6.5703125" style="3" customWidth="1"/>
    <col min="7" max="7" width="9.140625" style="16"/>
    <col min="8" max="8" width="9.140625" style="8"/>
    <col min="9" max="9" width="6.28515625" style="8" customWidth="1"/>
    <col min="10" max="10" width="8.42578125" style="8" customWidth="1"/>
    <col min="11" max="11" width="7.5703125" style="8" customWidth="1"/>
    <col min="12" max="12" width="18.140625" style="20" customWidth="1"/>
    <col min="13" max="13" width="9" style="20" customWidth="1"/>
    <col min="14" max="16384" width="9.140625" style="8"/>
  </cols>
  <sheetData>
    <row r="1" spans="1:22" s="12" customFormat="1" ht="14.45" customHeight="1" x14ac:dyDescent="0.25">
      <c r="A1" s="11" t="s">
        <v>11</v>
      </c>
      <c r="B1" s="11" t="s">
        <v>12</v>
      </c>
      <c r="C1" s="12" t="s">
        <v>0</v>
      </c>
      <c r="D1" s="13" t="s">
        <v>13</v>
      </c>
      <c r="E1" s="13" t="s">
        <v>44</v>
      </c>
      <c r="F1" s="14" t="s">
        <v>31</v>
      </c>
      <c r="G1" s="17" t="s">
        <v>14</v>
      </c>
      <c r="H1" s="12" t="s">
        <v>15</v>
      </c>
      <c r="I1" s="12" t="s">
        <v>1</v>
      </c>
      <c r="J1" s="12" t="s">
        <v>39</v>
      </c>
      <c r="K1" s="12" t="s">
        <v>40</v>
      </c>
      <c r="L1" s="22" t="s">
        <v>54</v>
      </c>
      <c r="M1" s="22" t="s">
        <v>66</v>
      </c>
      <c r="N1" s="12" t="s">
        <v>2</v>
      </c>
    </row>
    <row r="2" spans="1:22" ht="14.45" customHeight="1" x14ac:dyDescent="0.25">
      <c r="A2" s="15">
        <v>-123.6659047</v>
      </c>
      <c r="B2" s="15">
        <v>46.9567859</v>
      </c>
      <c r="C2" s="8" t="s">
        <v>5</v>
      </c>
      <c r="D2" s="2" t="s">
        <v>6</v>
      </c>
      <c r="E2" s="2" t="s">
        <v>68</v>
      </c>
      <c r="L2" s="20" t="s">
        <v>55</v>
      </c>
      <c r="N2" s="8" t="s">
        <v>25</v>
      </c>
    </row>
    <row r="3" spans="1:22" ht="14.45" customHeight="1" x14ac:dyDescent="0.25">
      <c r="A3" s="5">
        <v>-123.6969</v>
      </c>
      <c r="B3" s="5">
        <v>46.955100000000002</v>
      </c>
      <c r="C3" s="2" t="s">
        <v>5</v>
      </c>
      <c r="D3" s="2" t="s">
        <v>33</v>
      </c>
      <c r="E3" s="2" t="s">
        <v>68</v>
      </c>
      <c r="F3" s="6"/>
      <c r="G3" s="18"/>
      <c r="H3" s="6"/>
      <c r="I3" s="2"/>
      <c r="J3" s="2"/>
      <c r="K3" s="2"/>
      <c r="L3" s="20" t="s">
        <v>56</v>
      </c>
      <c r="N3" s="8" t="s">
        <v>34</v>
      </c>
      <c r="O3" s="7"/>
      <c r="P3" s="2"/>
      <c r="Q3" s="2"/>
      <c r="R3" s="2"/>
      <c r="T3" s="2"/>
      <c r="U3" s="2"/>
      <c r="V3" s="2"/>
    </row>
    <row r="4" spans="1:22" ht="14.45" customHeight="1" x14ac:dyDescent="0.25">
      <c r="A4" s="15">
        <v>-123.71926190000001</v>
      </c>
      <c r="B4" s="15">
        <v>46.950575600000001</v>
      </c>
      <c r="C4" s="8" t="s">
        <v>5</v>
      </c>
      <c r="D4" s="2" t="s">
        <v>6</v>
      </c>
      <c r="E4" s="2" t="s">
        <v>68</v>
      </c>
      <c r="L4" s="20" t="s">
        <v>55</v>
      </c>
      <c r="N4" s="8" t="s">
        <v>17</v>
      </c>
    </row>
    <row r="5" spans="1:22" ht="14.45" customHeight="1" x14ac:dyDescent="0.25">
      <c r="A5" s="15">
        <v>-123.7262769</v>
      </c>
      <c r="B5" s="15">
        <v>46.950195600000001</v>
      </c>
      <c r="C5" s="8" t="s">
        <v>5</v>
      </c>
      <c r="D5" s="2" t="s">
        <v>6</v>
      </c>
      <c r="E5" s="2" t="s">
        <v>68</v>
      </c>
      <c r="G5" s="16">
        <v>50</v>
      </c>
      <c r="L5" s="20" t="s">
        <v>55</v>
      </c>
      <c r="N5" s="8" t="s">
        <v>18</v>
      </c>
    </row>
    <row r="6" spans="1:22" ht="14.45" customHeight="1" x14ac:dyDescent="0.25">
      <c r="A6" s="15">
        <v>-123.72545340000001</v>
      </c>
      <c r="B6" s="15">
        <v>46.949724600000003</v>
      </c>
      <c r="C6" s="8" t="s">
        <v>5</v>
      </c>
      <c r="D6" s="2" t="s">
        <v>6</v>
      </c>
      <c r="E6" s="2" t="s">
        <v>68</v>
      </c>
      <c r="G6" s="16">
        <v>50</v>
      </c>
      <c r="L6" s="20" t="s">
        <v>55</v>
      </c>
      <c r="N6" s="8" t="s">
        <v>18</v>
      </c>
    </row>
    <row r="7" spans="1:22" ht="14.45" customHeight="1" x14ac:dyDescent="0.25">
      <c r="A7" s="15">
        <v>-123.7164786</v>
      </c>
      <c r="B7" s="15">
        <v>46.948102599999999</v>
      </c>
      <c r="C7" s="8" t="s">
        <v>5</v>
      </c>
      <c r="D7" s="2" t="s">
        <v>6</v>
      </c>
      <c r="E7" s="2" t="s">
        <v>68</v>
      </c>
      <c r="L7" s="20" t="s">
        <v>55</v>
      </c>
      <c r="N7" s="8" t="s">
        <v>16</v>
      </c>
    </row>
    <row r="8" spans="1:22" ht="14.45" customHeight="1" x14ac:dyDescent="0.25">
      <c r="A8" s="15">
        <v>-123.7252556</v>
      </c>
      <c r="B8" s="15">
        <v>46.947181800000003</v>
      </c>
      <c r="C8" s="8" t="s">
        <v>5</v>
      </c>
      <c r="D8" s="2" t="s">
        <v>6</v>
      </c>
      <c r="E8" s="2" t="s">
        <v>68</v>
      </c>
      <c r="G8" s="16">
        <v>75</v>
      </c>
      <c r="L8" s="20" t="s">
        <v>55</v>
      </c>
      <c r="N8" s="8" t="s">
        <v>22</v>
      </c>
    </row>
    <row r="9" spans="1:22" ht="14.45" customHeight="1" x14ac:dyDescent="0.25">
      <c r="A9" s="15">
        <v>-123.7399533</v>
      </c>
      <c r="B9" s="15">
        <v>46.9467687</v>
      </c>
      <c r="C9" s="8" t="s">
        <v>5</v>
      </c>
      <c r="D9" s="2" t="s">
        <v>6</v>
      </c>
      <c r="E9" s="2" t="s">
        <v>68</v>
      </c>
      <c r="G9" s="16">
        <v>40</v>
      </c>
      <c r="L9" s="20" t="s">
        <v>55</v>
      </c>
      <c r="N9" s="8" t="s">
        <v>24</v>
      </c>
    </row>
    <row r="10" spans="1:22" ht="14.45" customHeight="1" x14ac:dyDescent="0.25">
      <c r="A10" s="15">
        <v>-123.7277311</v>
      </c>
      <c r="B10" s="15">
        <v>46.946666100000002</v>
      </c>
      <c r="C10" s="8" t="s">
        <v>5</v>
      </c>
      <c r="D10" s="2" t="s">
        <v>6</v>
      </c>
      <c r="E10" s="2" t="s">
        <v>68</v>
      </c>
      <c r="L10" s="20" t="s">
        <v>55</v>
      </c>
      <c r="N10" s="8" t="s">
        <v>21</v>
      </c>
    </row>
    <row r="11" spans="1:22" ht="14.45" customHeight="1" x14ac:dyDescent="0.25">
      <c r="A11" s="15">
        <v>-123.71331139999999</v>
      </c>
      <c r="B11" s="15">
        <v>46.946285500000002</v>
      </c>
      <c r="C11" s="8" t="s">
        <v>5</v>
      </c>
      <c r="D11" s="2" t="s">
        <v>6</v>
      </c>
      <c r="E11" s="2" t="s">
        <v>68</v>
      </c>
      <c r="L11" s="20" t="s">
        <v>55</v>
      </c>
      <c r="N11" s="8" t="s">
        <v>23</v>
      </c>
    </row>
    <row r="12" spans="1:22" ht="14.45" customHeight="1" x14ac:dyDescent="0.25">
      <c r="A12" s="15">
        <v>-123.7321493</v>
      </c>
      <c r="B12" s="15">
        <v>46.944777199999997</v>
      </c>
      <c r="C12" s="8" t="s">
        <v>5</v>
      </c>
      <c r="D12" s="2" t="s">
        <v>6</v>
      </c>
      <c r="E12" s="2" t="s">
        <v>68</v>
      </c>
      <c r="G12" s="16">
        <v>25</v>
      </c>
      <c r="L12" s="20" t="s">
        <v>55</v>
      </c>
      <c r="N12" s="8" t="s">
        <v>19</v>
      </c>
    </row>
    <row r="13" spans="1:22" ht="14.45" customHeight="1" x14ac:dyDescent="0.25">
      <c r="A13" s="15">
        <v>-123.729454</v>
      </c>
      <c r="B13" s="15">
        <v>46.943223000000003</v>
      </c>
      <c r="C13" s="8" t="s">
        <v>5</v>
      </c>
      <c r="D13" s="2" t="s">
        <v>6</v>
      </c>
      <c r="E13" s="2" t="s">
        <v>68</v>
      </c>
      <c r="L13" s="20" t="s">
        <v>55</v>
      </c>
      <c r="N13" s="8" t="s">
        <v>20</v>
      </c>
    </row>
    <row r="14" spans="1:22" ht="14.45" customHeight="1" x14ac:dyDescent="0.25">
      <c r="A14" s="15">
        <v>-123.7246665</v>
      </c>
      <c r="B14" s="15">
        <v>46.662654400000001</v>
      </c>
      <c r="C14" s="8" t="s">
        <v>7</v>
      </c>
      <c r="D14" s="2" t="s">
        <v>8</v>
      </c>
      <c r="E14" s="2" t="s">
        <v>68</v>
      </c>
      <c r="G14" s="16">
        <v>80</v>
      </c>
      <c r="L14" s="20" t="s">
        <v>55</v>
      </c>
      <c r="N14" s="8" t="s">
        <v>26</v>
      </c>
    </row>
    <row r="15" spans="1:22" ht="14.45" customHeight="1" x14ac:dyDescent="0.25">
      <c r="A15" s="15">
        <v>-123.947333</v>
      </c>
      <c r="B15" s="15">
        <v>46.423487999999999</v>
      </c>
      <c r="C15" s="8" t="s">
        <v>7</v>
      </c>
      <c r="D15" s="2" t="s">
        <v>35</v>
      </c>
      <c r="E15" s="2" t="s">
        <v>45</v>
      </c>
      <c r="F15" s="3">
        <v>760</v>
      </c>
      <c r="G15" s="16">
        <v>205.74</v>
      </c>
      <c r="H15" s="8">
        <v>265</v>
      </c>
      <c r="J15" s="8">
        <v>1722</v>
      </c>
      <c r="K15" s="8">
        <v>1986</v>
      </c>
      <c r="L15" s="23" t="s">
        <v>57</v>
      </c>
      <c r="M15" s="26" t="s">
        <v>36</v>
      </c>
    </row>
    <row r="16" spans="1:22" ht="14.45" customHeight="1" x14ac:dyDescent="0.25">
      <c r="A16" s="9">
        <v>-123.941497</v>
      </c>
      <c r="B16" s="15">
        <v>46.422972000000001</v>
      </c>
      <c r="C16" s="8" t="s">
        <v>7</v>
      </c>
      <c r="D16" s="2" t="s">
        <v>35</v>
      </c>
      <c r="E16" s="2" t="s">
        <v>45</v>
      </c>
      <c r="F16" s="10">
        <v>762</v>
      </c>
      <c r="G16" s="16">
        <v>213.36</v>
      </c>
      <c r="H16" s="8">
        <v>346</v>
      </c>
      <c r="J16" s="8">
        <v>1411</v>
      </c>
      <c r="K16" s="8">
        <v>1756</v>
      </c>
      <c r="L16" s="23" t="s">
        <v>58</v>
      </c>
      <c r="M16" s="26" t="s">
        <v>36</v>
      </c>
      <c r="N16" s="8" t="s">
        <v>38</v>
      </c>
    </row>
    <row r="17" spans="1:14" ht="14.45" customHeight="1" x14ac:dyDescent="0.25">
      <c r="A17" s="9">
        <v>-123.941136</v>
      </c>
      <c r="B17" s="9">
        <v>46.422640999999999</v>
      </c>
      <c r="C17" s="8" t="s">
        <v>7</v>
      </c>
      <c r="D17" s="2" t="s">
        <v>35</v>
      </c>
      <c r="E17" s="2" t="s">
        <v>45</v>
      </c>
      <c r="F17" s="10">
        <v>761</v>
      </c>
      <c r="G17" s="16">
        <v>312.42</v>
      </c>
      <c r="H17" s="8">
        <v>586</v>
      </c>
      <c r="J17" s="8">
        <v>1289</v>
      </c>
      <c r="K17" s="8">
        <v>1874</v>
      </c>
      <c r="L17" s="23" t="s">
        <v>58</v>
      </c>
      <c r="M17" s="26" t="s">
        <v>36</v>
      </c>
      <c r="N17" s="8" t="s">
        <v>38</v>
      </c>
    </row>
    <row r="18" spans="1:14" ht="14.45" customHeight="1" x14ac:dyDescent="0.25">
      <c r="A18" s="15">
        <v>-123.941689</v>
      </c>
      <c r="B18" s="15">
        <v>46.422573999999997</v>
      </c>
      <c r="C18" s="8" t="s">
        <v>7</v>
      </c>
      <c r="D18" s="2" t="s">
        <v>35</v>
      </c>
      <c r="E18" s="2" t="s">
        <v>45</v>
      </c>
      <c r="F18" s="3">
        <v>755</v>
      </c>
      <c r="G18" s="16">
        <v>264.16000000000003</v>
      </c>
      <c r="H18" s="8">
        <v>449</v>
      </c>
      <c r="J18" s="8">
        <v>1425</v>
      </c>
      <c r="K18" s="8">
        <v>1873</v>
      </c>
      <c r="L18" s="23" t="s">
        <v>57</v>
      </c>
      <c r="M18" s="26" t="s">
        <v>36</v>
      </c>
      <c r="N18" s="8" t="s">
        <v>38</v>
      </c>
    </row>
    <row r="19" spans="1:14" ht="14.45" customHeight="1" x14ac:dyDescent="0.25">
      <c r="A19" s="15">
        <v>-123.94158</v>
      </c>
      <c r="B19" s="15">
        <v>46.422317</v>
      </c>
      <c r="C19" s="8" t="s">
        <v>7</v>
      </c>
      <c r="D19" s="2" t="s">
        <v>35</v>
      </c>
      <c r="E19" s="2" t="s">
        <v>45</v>
      </c>
      <c r="F19" s="3">
        <v>754</v>
      </c>
      <c r="G19" s="16">
        <v>365.76</v>
      </c>
      <c r="H19" s="8">
        <v>535</v>
      </c>
      <c r="J19" s="8">
        <v>1452</v>
      </c>
      <c r="K19" s="8">
        <v>1986</v>
      </c>
      <c r="L19" s="23" t="s">
        <v>57</v>
      </c>
      <c r="M19" s="26" t="s">
        <v>36</v>
      </c>
    </row>
    <row r="20" spans="1:14" ht="14.45" customHeight="1" x14ac:dyDescent="0.25">
      <c r="A20" s="9">
        <v>-123.945633759</v>
      </c>
      <c r="B20" s="9">
        <v>46.422057184400003</v>
      </c>
      <c r="C20" s="8" t="s">
        <v>7</v>
      </c>
      <c r="D20" s="2" t="s">
        <v>35</v>
      </c>
      <c r="E20" s="2" t="s">
        <v>45</v>
      </c>
      <c r="F20" s="10">
        <v>768</v>
      </c>
      <c r="G20" s="16">
        <v>280</v>
      </c>
      <c r="H20" s="8">
        <v>459</v>
      </c>
      <c r="J20" s="8">
        <v>1528</v>
      </c>
      <c r="K20" s="8">
        <v>1986</v>
      </c>
      <c r="L20" s="23" t="s">
        <v>59</v>
      </c>
      <c r="M20" s="26" t="s">
        <v>36</v>
      </c>
    </row>
    <row r="21" spans="1:14" ht="14.45" customHeight="1" x14ac:dyDescent="0.25">
      <c r="A21" s="9">
        <v>-123.945294953</v>
      </c>
      <c r="B21" s="9">
        <v>46.421779006100003</v>
      </c>
      <c r="C21" s="8" t="s">
        <v>7</v>
      </c>
      <c r="D21" s="2" t="s">
        <v>35</v>
      </c>
      <c r="E21" s="2" t="s">
        <v>45</v>
      </c>
      <c r="F21" s="10">
        <v>767</v>
      </c>
      <c r="G21" s="16">
        <v>200</v>
      </c>
      <c r="H21" s="8">
        <v>882</v>
      </c>
      <c r="J21" s="8">
        <v>1036</v>
      </c>
      <c r="K21" s="8">
        <v>1917</v>
      </c>
      <c r="L21" s="23" t="s">
        <v>59</v>
      </c>
      <c r="M21" s="26" t="s">
        <v>36</v>
      </c>
      <c r="N21" s="8" t="s">
        <v>47</v>
      </c>
    </row>
    <row r="22" spans="1:14" ht="14.45" customHeight="1" x14ac:dyDescent="0.25">
      <c r="A22" s="9">
        <v>-123.94617</v>
      </c>
      <c r="B22" s="9">
        <v>46.421436</v>
      </c>
      <c r="C22" s="8" t="s">
        <v>7</v>
      </c>
      <c r="D22" s="2" t="s">
        <v>35</v>
      </c>
      <c r="E22" s="2" t="s">
        <v>45</v>
      </c>
      <c r="F22" s="10">
        <v>769</v>
      </c>
      <c r="G22" s="16">
        <v>206</v>
      </c>
      <c r="H22" s="8">
        <v>353</v>
      </c>
      <c r="J22" s="8">
        <v>1634</v>
      </c>
      <c r="K22" s="8">
        <v>1986</v>
      </c>
      <c r="L22" s="23" t="s">
        <v>59</v>
      </c>
      <c r="M22" s="26" t="s">
        <v>36</v>
      </c>
    </row>
    <row r="23" spans="1:14" ht="14.45" customHeight="1" x14ac:dyDescent="0.25">
      <c r="A23" s="9">
        <v>-123.94506442799999</v>
      </c>
      <c r="B23" s="9">
        <v>46.4213903964</v>
      </c>
      <c r="C23" s="8" t="s">
        <v>7</v>
      </c>
      <c r="D23" s="2" t="s">
        <v>35</v>
      </c>
      <c r="E23" s="2" t="s">
        <v>45</v>
      </c>
      <c r="F23" s="10">
        <v>766</v>
      </c>
      <c r="G23" s="16">
        <v>270</v>
      </c>
      <c r="H23" s="8">
        <v>637</v>
      </c>
      <c r="J23" s="8">
        <v>1350</v>
      </c>
      <c r="K23" s="8">
        <v>1986</v>
      </c>
      <c r="L23" s="23" t="s">
        <v>59</v>
      </c>
      <c r="M23" s="26" t="s">
        <v>36</v>
      </c>
      <c r="N23" s="8" t="s">
        <v>48</v>
      </c>
    </row>
    <row r="24" spans="1:14" ht="14.45" customHeight="1" x14ac:dyDescent="0.25">
      <c r="A24" s="9">
        <v>-123.94460484699999</v>
      </c>
      <c r="B24" s="9">
        <v>46.421096546599998</v>
      </c>
      <c r="C24" s="8" t="s">
        <v>7</v>
      </c>
      <c r="D24" s="2" t="s">
        <v>35</v>
      </c>
      <c r="E24" s="2" t="s">
        <v>45</v>
      </c>
      <c r="F24" s="10">
        <v>702</v>
      </c>
      <c r="G24" s="16">
        <v>270</v>
      </c>
      <c r="H24" s="8">
        <v>379</v>
      </c>
      <c r="J24" s="8">
        <v>991</v>
      </c>
      <c r="K24" s="8">
        <v>1369</v>
      </c>
      <c r="L24" s="23" t="s">
        <v>59</v>
      </c>
      <c r="M24" s="26" t="s">
        <v>36</v>
      </c>
      <c r="N24" s="8" t="s">
        <v>37</v>
      </c>
    </row>
    <row r="25" spans="1:14" ht="14.45" customHeight="1" x14ac:dyDescent="0.25">
      <c r="A25" s="9">
        <v>-123.944372571</v>
      </c>
      <c r="B25" s="9">
        <v>46.420805578100001</v>
      </c>
      <c r="C25" s="8" t="s">
        <v>7</v>
      </c>
      <c r="D25" s="2" t="s">
        <v>35</v>
      </c>
      <c r="E25" s="2" t="s">
        <v>45</v>
      </c>
      <c r="F25" s="10">
        <v>701</v>
      </c>
      <c r="G25" s="16">
        <v>226</v>
      </c>
      <c r="H25" s="8">
        <v>664</v>
      </c>
      <c r="J25" s="8">
        <v>1323</v>
      </c>
      <c r="K25" s="8">
        <v>1986</v>
      </c>
      <c r="L25" s="23" t="s">
        <v>59</v>
      </c>
      <c r="M25" s="26" t="s">
        <v>36</v>
      </c>
    </row>
    <row r="26" spans="1:14" ht="14.45" customHeight="1" x14ac:dyDescent="0.25">
      <c r="A26" s="15">
        <v>-123.95165299999999</v>
      </c>
      <c r="B26" s="15">
        <v>46.419628000000003</v>
      </c>
      <c r="C26" s="8" t="s">
        <v>7</v>
      </c>
      <c r="D26" s="2" t="s">
        <v>35</v>
      </c>
      <c r="E26" s="2" t="s">
        <v>45</v>
      </c>
      <c r="F26" s="3">
        <v>753</v>
      </c>
      <c r="G26" s="16">
        <v>233.68</v>
      </c>
      <c r="H26" s="8">
        <v>570</v>
      </c>
      <c r="J26" s="8">
        <v>1417</v>
      </c>
      <c r="K26" s="8">
        <v>1986</v>
      </c>
      <c r="L26" s="23" t="s">
        <v>57</v>
      </c>
      <c r="M26" s="26" t="s">
        <v>36</v>
      </c>
    </row>
    <row r="27" spans="1:14" ht="14.45" customHeight="1" x14ac:dyDescent="0.25">
      <c r="A27" s="15">
        <v>-123.950706</v>
      </c>
      <c r="B27" s="15">
        <v>46.419500999999997</v>
      </c>
      <c r="C27" s="8" t="s">
        <v>7</v>
      </c>
      <c r="D27" s="2" t="s">
        <v>35</v>
      </c>
      <c r="E27" s="2" t="s">
        <v>45</v>
      </c>
      <c r="F27" s="3">
        <v>751</v>
      </c>
      <c r="G27" s="16">
        <v>248.92000000000002</v>
      </c>
      <c r="H27" s="8">
        <v>408</v>
      </c>
      <c r="J27" s="8">
        <v>1486</v>
      </c>
      <c r="K27" s="8">
        <v>1893</v>
      </c>
      <c r="L27" s="23" t="s">
        <v>57</v>
      </c>
      <c r="M27" s="26" t="s">
        <v>36</v>
      </c>
    </row>
    <row r="28" spans="1:14" ht="14.45" customHeight="1" x14ac:dyDescent="0.25">
      <c r="A28" s="9">
        <v>-123.951293365</v>
      </c>
      <c r="B28" s="9">
        <v>46.419290259100002</v>
      </c>
      <c r="C28" s="8" t="s">
        <v>7</v>
      </c>
      <c r="D28" s="2" t="s">
        <v>35</v>
      </c>
      <c r="E28" s="2" t="s">
        <v>45</v>
      </c>
      <c r="F28" s="10">
        <v>745</v>
      </c>
      <c r="G28" s="16">
        <v>314.95999999999998</v>
      </c>
      <c r="H28" s="8">
        <v>526</v>
      </c>
      <c r="J28" s="8">
        <v>1408</v>
      </c>
      <c r="K28" s="8">
        <v>1933</v>
      </c>
      <c r="L28" s="23" t="s">
        <v>60</v>
      </c>
      <c r="M28" s="26" t="s">
        <v>36</v>
      </c>
    </row>
    <row r="29" spans="1:14" ht="14.45" customHeight="1" x14ac:dyDescent="0.25">
      <c r="A29" s="15">
        <v>-123.94931800000001</v>
      </c>
      <c r="B29" s="15">
        <v>46.419181000000002</v>
      </c>
      <c r="C29" s="8" t="s">
        <v>7</v>
      </c>
      <c r="D29" s="2" t="s">
        <v>35</v>
      </c>
      <c r="E29" s="2" t="s">
        <v>45</v>
      </c>
      <c r="F29" s="3">
        <v>757</v>
      </c>
      <c r="G29" s="16">
        <v>223.52</v>
      </c>
      <c r="H29" s="8">
        <v>397</v>
      </c>
      <c r="J29" s="8">
        <v>1515</v>
      </c>
      <c r="K29" s="8">
        <v>1911</v>
      </c>
      <c r="L29" s="23" t="s">
        <v>57</v>
      </c>
      <c r="M29" s="26" t="s">
        <v>36</v>
      </c>
    </row>
    <row r="30" spans="1:14" ht="14.45" customHeight="1" x14ac:dyDescent="0.25">
      <c r="A30" s="15">
        <v>-123.950328</v>
      </c>
      <c r="B30" s="15">
        <v>46.419086999999998</v>
      </c>
      <c r="C30" s="8" t="s">
        <v>7</v>
      </c>
      <c r="D30" s="2" t="s">
        <v>35</v>
      </c>
      <c r="E30" s="2" t="s">
        <v>45</v>
      </c>
      <c r="F30" s="3">
        <v>756</v>
      </c>
      <c r="G30" s="16">
        <v>236.22</v>
      </c>
      <c r="H30" s="8">
        <v>500</v>
      </c>
      <c r="J30" s="8">
        <v>1424</v>
      </c>
      <c r="K30" s="8">
        <v>1923</v>
      </c>
      <c r="L30" s="23" t="s">
        <v>57</v>
      </c>
      <c r="M30" s="26" t="s">
        <v>36</v>
      </c>
    </row>
    <row r="31" spans="1:14" ht="14.45" customHeight="1" x14ac:dyDescent="0.25">
      <c r="A31" s="15">
        <v>-123.95124199999999</v>
      </c>
      <c r="B31" s="15">
        <v>46.418953999999999</v>
      </c>
      <c r="C31" s="8" t="s">
        <v>7</v>
      </c>
      <c r="D31" s="2" t="s">
        <v>35</v>
      </c>
      <c r="E31" s="2" t="s">
        <v>45</v>
      </c>
      <c r="F31" s="3">
        <v>752</v>
      </c>
      <c r="G31" s="16">
        <v>254</v>
      </c>
      <c r="H31" s="8">
        <v>307</v>
      </c>
      <c r="J31" s="8">
        <v>1680</v>
      </c>
      <c r="K31" s="8">
        <v>1986</v>
      </c>
      <c r="L31" s="23" t="s">
        <v>57</v>
      </c>
      <c r="M31" s="26" t="s">
        <v>36</v>
      </c>
    </row>
    <row r="32" spans="1:14" ht="14.45" customHeight="1" x14ac:dyDescent="0.25">
      <c r="A32" s="15">
        <v>-123.95092200000001</v>
      </c>
      <c r="B32" s="15">
        <v>46.418761000000003</v>
      </c>
      <c r="C32" s="8" t="s">
        <v>7</v>
      </c>
      <c r="D32" s="2" t="s">
        <v>35</v>
      </c>
      <c r="E32" s="2" t="s">
        <v>45</v>
      </c>
      <c r="F32" s="3">
        <v>759</v>
      </c>
      <c r="G32" s="16">
        <v>228.6</v>
      </c>
      <c r="H32" s="8">
        <v>241</v>
      </c>
      <c r="J32" s="8">
        <v>1746</v>
      </c>
      <c r="K32" s="8">
        <v>1986</v>
      </c>
      <c r="L32" s="23" t="s">
        <v>57</v>
      </c>
      <c r="M32" s="26" t="s">
        <v>36</v>
      </c>
    </row>
    <row r="33" spans="1:24" ht="14.45" customHeight="1" x14ac:dyDescent="0.25">
      <c r="A33" s="15">
        <v>-123.94989200000001</v>
      </c>
      <c r="B33" s="15">
        <v>46.418655999999999</v>
      </c>
      <c r="C33" s="8" t="s">
        <v>7</v>
      </c>
      <c r="D33" s="2" t="s">
        <v>35</v>
      </c>
      <c r="E33" s="2" t="s">
        <v>45</v>
      </c>
      <c r="F33" s="3">
        <v>758</v>
      </c>
      <c r="G33" s="16">
        <v>322.58</v>
      </c>
      <c r="H33" s="8">
        <v>504</v>
      </c>
      <c r="J33" s="8">
        <v>1419</v>
      </c>
      <c r="K33" s="8">
        <v>1922</v>
      </c>
      <c r="L33" s="23" t="s">
        <v>57</v>
      </c>
      <c r="M33" s="26" t="s">
        <v>36</v>
      </c>
    </row>
    <row r="34" spans="1:24" ht="14.45" customHeight="1" x14ac:dyDescent="0.25">
      <c r="A34" s="15">
        <v>-123.82756980000001</v>
      </c>
      <c r="B34" s="15">
        <v>46.378218879999999</v>
      </c>
      <c r="C34" s="8" t="s">
        <v>7</v>
      </c>
      <c r="D34" s="2" t="s">
        <v>9</v>
      </c>
      <c r="E34" s="2" t="s">
        <v>68</v>
      </c>
      <c r="L34" s="20" t="s">
        <v>55</v>
      </c>
      <c r="N34" s="8" t="s">
        <v>27</v>
      </c>
    </row>
    <row r="35" spans="1:24" ht="14.45" customHeight="1" x14ac:dyDescent="0.25">
      <c r="A35" s="15">
        <v>-123.6676131</v>
      </c>
      <c r="B35" s="15">
        <v>46.326916410000003</v>
      </c>
      <c r="C35" s="8" t="s">
        <v>3</v>
      </c>
      <c r="D35" s="2" t="s">
        <v>4</v>
      </c>
      <c r="E35" s="2" t="s">
        <v>68</v>
      </c>
      <c r="L35" s="20">
        <v>1995</v>
      </c>
      <c r="N35" s="8" t="s">
        <v>41</v>
      </c>
    </row>
    <row r="36" spans="1:24" ht="14.45" customHeight="1" x14ac:dyDescent="0.25">
      <c r="A36" s="21">
        <v>-123.66891800000001</v>
      </c>
      <c r="B36" s="21">
        <v>46.326092000000003</v>
      </c>
      <c r="C36" s="8" t="s">
        <v>3</v>
      </c>
      <c r="D36" s="2" t="s">
        <v>52</v>
      </c>
      <c r="E36" s="2" t="s">
        <v>68</v>
      </c>
      <c r="F36" s="3" t="s">
        <v>53</v>
      </c>
      <c r="G36" s="16">
        <v>60</v>
      </c>
      <c r="H36" s="8">
        <v>125</v>
      </c>
      <c r="J36" s="8">
        <f>1992-H36</f>
        <v>1867</v>
      </c>
      <c r="L36" s="24" t="s">
        <v>63</v>
      </c>
      <c r="M36" s="24"/>
      <c r="N36" s="8" t="s">
        <v>65</v>
      </c>
    </row>
    <row r="37" spans="1:24" ht="14.45" customHeight="1" x14ac:dyDescent="0.25">
      <c r="A37" s="15">
        <v>-123.6713597</v>
      </c>
      <c r="B37" s="15">
        <v>46.320316400000003</v>
      </c>
      <c r="C37" s="8" t="s">
        <v>3</v>
      </c>
      <c r="D37" s="2" t="s">
        <v>4</v>
      </c>
      <c r="E37" s="2" t="s">
        <v>68</v>
      </c>
      <c r="G37" s="16">
        <v>45</v>
      </c>
      <c r="H37" s="8">
        <v>63</v>
      </c>
      <c r="I37" s="8">
        <v>1924</v>
      </c>
      <c r="L37" s="24" t="s">
        <v>61</v>
      </c>
      <c r="M37" s="24"/>
      <c r="N37" s="8" t="s">
        <v>50</v>
      </c>
    </row>
    <row r="38" spans="1:24" ht="14.45" customHeight="1" x14ac:dyDescent="0.25">
      <c r="A38" s="15">
        <v>-123.6713597</v>
      </c>
      <c r="B38" s="15">
        <v>46.320316400000003</v>
      </c>
      <c r="C38" s="8" t="s">
        <v>3</v>
      </c>
      <c r="D38" s="2" t="s">
        <v>4</v>
      </c>
      <c r="E38" s="2" t="s">
        <v>68</v>
      </c>
      <c r="G38" s="16">
        <v>60</v>
      </c>
      <c r="H38" s="8">
        <v>87</v>
      </c>
      <c r="I38" s="8">
        <v>1900</v>
      </c>
      <c r="L38" s="24" t="s">
        <v>61</v>
      </c>
      <c r="M38" s="24"/>
      <c r="N38" s="8" t="s">
        <v>50</v>
      </c>
    </row>
    <row r="39" spans="1:24" ht="14.45" customHeight="1" x14ac:dyDescent="0.25">
      <c r="A39" s="15">
        <v>-123.6713597</v>
      </c>
      <c r="B39" s="15">
        <v>46.320316400000003</v>
      </c>
      <c r="C39" s="8" t="s">
        <v>3</v>
      </c>
      <c r="D39" s="2" t="s">
        <v>4</v>
      </c>
      <c r="E39" s="2" t="s">
        <v>68</v>
      </c>
      <c r="G39" s="16">
        <v>50</v>
      </c>
      <c r="H39" s="8">
        <v>69</v>
      </c>
      <c r="I39" s="8">
        <v>1918</v>
      </c>
      <c r="L39" s="24" t="s">
        <v>61</v>
      </c>
      <c r="M39" s="24"/>
      <c r="N39" s="8" t="s">
        <v>50</v>
      </c>
    </row>
    <row r="40" spans="1:24" ht="14.45" customHeight="1" x14ac:dyDescent="0.25">
      <c r="A40" s="15">
        <v>-123.6713597</v>
      </c>
      <c r="B40" s="15">
        <v>46.320316400000003</v>
      </c>
      <c r="C40" s="8" t="s">
        <v>3</v>
      </c>
      <c r="D40" s="2" t="s">
        <v>4</v>
      </c>
      <c r="E40" s="2" t="s">
        <v>68</v>
      </c>
      <c r="G40" s="16">
        <v>60</v>
      </c>
      <c r="H40" s="8">
        <v>73</v>
      </c>
      <c r="I40" s="8">
        <v>1914</v>
      </c>
      <c r="L40" s="24" t="s">
        <v>61</v>
      </c>
      <c r="M40" s="24"/>
      <c r="N40" s="8" t="s">
        <v>50</v>
      </c>
    </row>
    <row r="41" spans="1:24" ht="14.45" customHeight="1" x14ac:dyDescent="0.25">
      <c r="A41" s="15">
        <v>-123.66931</v>
      </c>
      <c r="B41" s="15">
        <v>46.319446999999997</v>
      </c>
      <c r="C41" s="8" t="s">
        <v>3</v>
      </c>
      <c r="D41" s="2" t="s">
        <v>4</v>
      </c>
      <c r="E41" s="2" t="s">
        <v>68</v>
      </c>
      <c r="G41" s="16">
        <v>75</v>
      </c>
      <c r="H41" s="8">
        <v>84</v>
      </c>
      <c r="I41" s="8">
        <v>1903</v>
      </c>
      <c r="L41" s="24" t="s">
        <v>61</v>
      </c>
      <c r="M41" s="24"/>
      <c r="N41" s="8" t="s">
        <v>51</v>
      </c>
    </row>
    <row r="42" spans="1:24" ht="14.45" customHeight="1" x14ac:dyDescent="0.25">
      <c r="A42" s="15">
        <v>-123.44078</v>
      </c>
      <c r="B42" s="15">
        <v>46.253579000000002</v>
      </c>
      <c r="C42" s="8" t="s">
        <v>3</v>
      </c>
      <c r="D42" s="2" t="s">
        <v>29</v>
      </c>
      <c r="E42" s="2" t="s">
        <v>68</v>
      </c>
      <c r="F42" s="3" t="s">
        <v>30</v>
      </c>
      <c r="H42" s="3" t="s">
        <v>32</v>
      </c>
      <c r="L42" s="25" t="s">
        <v>62</v>
      </c>
      <c r="M42" s="25"/>
      <c r="Q42" s="4"/>
      <c r="V42" s="4"/>
      <c r="X42" s="4"/>
    </row>
    <row r="43" spans="1:24" ht="14.45" customHeight="1" x14ac:dyDescent="0.25">
      <c r="A43" s="15">
        <v>-123.39612390000001</v>
      </c>
      <c r="B43" s="15">
        <v>46.229930320000001</v>
      </c>
      <c r="C43" s="8" t="s">
        <v>3</v>
      </c>
      <c r="D43" s="2" t="s">
        <v>10</v>
      </c>
      <c r="E43" s="2" t="s">
        <v>68</v>
      </c>
      <c r="L43" s="20" t="s">
        <v>55</v>
      </c>
      <c r="N43" s="8" t="s">
        <v>28</v>
      </c>
    </row>
    <row r="44" spans="1:24" ht="14.45" customHeight="1" x14ac:dyDescent="0.25">
      <c r="A44" s="1">
        <v>-123.57520167059999</v>
      </c>
      <c r="B44" s="1">
        <v>46.204247688700001</v>
      </c>
      <c r="C44" s="8" t="s">
        <v>3</v>
      </c>
      <c r="D44" s="2" t="s">
        <v>42</v>
      </c>
      <c r="E44" s="2" t="s">
        <v>46</v>
      </c>
      <c r="F44" s="3" t="s">
        <v>43</v>
      </c>
      <c r="H44" s="8">
        <f>K44-J44+1</f>
        <v>371</v>
      </c>
      <c r="J44" s="8">
        <v>1624</v>
      </c>
      <c r="K44" s="8">
        <v>1994</v>
      </c>
      <c r="L44" s="20" t="s">
        <v>64</v>
      </c>
      <c r="M44" s="19" t="s">
        <v>67</v>
      </c>
      <c r="N44" s="8" t="s">
        <v>49</v>
      </c>
    </row>
  </sheetData>
  <sortState ref="A2:X44">
    <sortCondition descending="1" ref="B2:B44"/>
    <sortCondition ref="A2:A44"/>
    <sortCondition ref="F2:F44"/>
  </sortState>
  <hyperlinks>
    <hyperlink ref="M15" r:id="rId1"/>
    <hyperlink ref="M16" r:id="rId2"/>
    <hyperlink ref="M17" r:id="rId3"/>
    <hyperlink ref="M18" r:id="rId4"/>
    <hyperlink ref="M19" r:id="rId5"/>
    <hyperlink ref="M20" r:id="rId6"/>
    <hyperlink ref="M21" r:id="rId7"/>
    <hyperlink ref="M22" r:id="rId8"/>
    <hyperlink ref="M23" r:id="rId9"/>
    <hyperlink ref="M24" r:id="rId10"/>
    <hyperlink ref="M25" r:id="rId11"/>
    <hyperlink ref="M26" r:id="rId12"/>
    <hyperlink ref="M27" r:id="rId13"/>
    <hyperlink ref="M28" r:id="rId14"/>
    <hyperlink ref="M29" r:id="rId15"/>
    <hyperlink ref="M30" r:id="rId16"/>
    <hyperlink ref="M31" r:id="rId17"/>
    <hyperlink ref="M32" r:id="rId18"/>
    <hyperlink ref="M33" r:id="rId19"/>
    <hyperlink ref="M44" r:id="rId20"/>
  </hyperlinks>
  <pageMargins left="0.7" right="0.7" top="0.75" bottom="0.75" header="0.3" footer="0.3"/>
  <pageSetup orientation="portrait" r:id="rId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Atwater, Brian F.</dc:creator>
  <cp:lastModifiedBy>atwater</cp:lastModifiedBy>
  <dcterms:created xsi:type="dcterms:W3CDTF">2019-09-02T03:15:29Z</dcterms:created>
  <dcterms:modified xsi:type="dcterms:W3CDTF">2020-03-25T21:27:22Z</dcterms:modified>
</cp:coreProperties>
</file>